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0173C75-C781-4A19-95A0-264AC15E15D5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Inventaire_structure_donnees" sheetId="7" r:id="rId1"/>
    <sheet name="Fenetres_neutralisees_2026" sheetId="2" r:id="rId2"/>
    <sheet name="Regles_calcul_capacite" sheetId="3" r:id="rId3"/>
    <sheet name="Tables_à_modéliser" sheetId="4" r:id="rId4"/>
    <sheet name="Besoins_formateurs_managers" sheetId="5" r:id="rId5"/>
    <sheet name="Nomenclature_commune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3" l="1"/>
  <c r="B8" i="3"/>
  <c r="B10" i="3" s="1"/>
  <c r="B12" i="3" s="1"/>
  <c r="D14" i="2"/>
</calcChain>
</file>

<file path=xl/sharedStrings.xml><?xml version="1.0" encoding="utf-8"?>
<sst xmlns="http://schemas.openxmlformats.org/spreadsheetml/2006/main" count="420" uniqueCount="258">
  <si>
    <t>Trainer Capacity Hub — Inventaire structuré des données (Semaine 1)</t>
  </si>
  <si>
    <t>Catégorie</t>
  </si>
  <si>
    <t>Champ</t>
  </si>
  <si>
    <t>Description</t>
  </si>
  <si>
    <t>Type indicatif</t>
  </si>
  <si>
    <t>Obligatoire / Facultatif</t>
  </si>
  <si>
    <t>Sensible (Oui/Non)</t>
  </si>
  <si>
    <t>Commentaire</t>
  </si>
  <si>
    <t>Utilisateurs</t>
  </si>
  <si>
    <t>matricule</t>
  </si>
  <si>
    <t>Identifiant unique de l'employé</t>
  </si>
  <si>
    <t>Texte / code</t>
  </si>
  <si>
    <t>Obligatoire</t>
  </si>
  <si>
    <t>Oui</t>
  </si>
  <si>
    <t>users</t>
  </si>
  <si>
    <t>nom et prénom</t>
  </si>
  <si>
    <t>Identité civile de l'utilisateur</t>
  </si>
  <si>
    <t>Texte</t>
  </si>
  <si>
    <t>profiles</t>
  </si>
  <si>
    <t>adresse e-mail</t>
  </si>
  <si>
    <t>Email professionnel, sert d'identifiant de connexion</t>
  </si>
  <si>
    <t>Texte (email)</t>
  </si>
  <si>
    <t>rôle</t>
  </si>
  <si>
    <t>Formateur, manager, administrateur, superadministrateur</t>
  </si>
  <si>
    <t>Texte / énum</t>
  </si>
  <si>
    <t>Non</t>
  </si>
  <si>
    <t>fonction</t>
  </si>
  <si>
    <t>Intitulé de poste</t>
  </si>
  <si>
    <t>Facultatif</t>
  </si>
  <si>
    <t>spécialité</t>
  </si>
  <si>
    <t>Domaine d'intervention pédagogique</t>
  </si>
  <si>
    <t>Texte / réf.</t>
  </si>
  <si>
    <t>centre de rattachement</t>
  </si>
  <si>
    <t>Centre TechniX de rattachement</t>
  </si>
  <si>
    <t>statut actif ou inactif</t>
  </si>
  <si>
    <t>État du compte</t>
  </si>
  <si>
    <t>Booléen / énum</t>
  </si>
  <si>
    <t>date d'entrée</t>
  </si>
  <si>
    <t>Date d'arrivée dans l'entreprise</t>
  </si>
  <si>
    <t>Date</t>
  </si>
  <si>
    <t>manager responsable</t>
  </si>
  <si>
    <t>Manager hiérarchique de l'utilisateur</t>
  </si>
  <si>
    <t>Charge</t>
  </si>
  <si>
    <t>formateur concerné</t>
  </si>
  <si>
    <t>Formateur associé à l'activité</t>
  </si>
  <si>
    <t>Réf. utilisateur</t>
  </si>
  <si>
    <t>activities</t>
  </si>
  <si>
    <t>date de l'activité</t>
  </si>
  <si>
    <t>Date à laquelle l'activité a lieu</t>
  </si>
  <si>
    <t>type d'activité</t>
  </si>
  <si>
    <t>Animation, préparation, correction, réunion, visite, accompagnement, gestion</t>
  </si>
  <si>
    <t>activity_types</t>
  </si>
  <si>
    <t>durée en jours ou en heures</t>
  </si>
  <si>
    <t>Volume de temps consacré à l'activité</t>
  </si>
  <si>
    <t>Décimal</t>
  </si>
  <si>
    <t>programme ou formation</t>
  </si>
  <si>
    <t>Programme/formation concerné(e)</t>
  </si>
  <si>
    <t>programs</t>
  </si>
  <si>
    <t>client</t>
  </si>
  <si>
    <t>Client interne ou externe</t>
  </si>
  <si>
    <t>clients</t>
  </si>
  <si>
    <t>centre</t>
  </si>
  <si>
    <t>Centre où se déroule l'activité</t>
  </si>
  <si>
    <t>statut de l'activité</t>
  </si>
  <si>
    <t>Validée, rejetée, en attente</t>
  </si>
  <si>
    <t>activities / validation_history</t>
  </si>
  <si>
    <t>commentaire libre</t>
  </si>
  <si>
    <t>Précision libre sur l'activité</t>
  </si>
  <si>
    <t>Texte long</t>
  </si>
  <si>
    <t>justificatif éventuel</t>
  </si>
  <si>
    <t>Pièce jointe justifiant l'activité</t>
  </si>
  <si>
    <t>Fichier</t>
  </si>
  <si>
    <t>Disponibilités</t>
  </si>
  <si>
    <t>congés</t>
  </si>
  <si>
    <t>Périodes de congé déclarées</t>
  </si>
  <si>
    <t>Date début/fin</t>
  </si>
  <si>
    <t>leaves</t>
  </si>
  <si>
    <t>absences</t>
  </si>
  <si>
    <t>Périodes d'absence</t>
  </si>
  <si>
    <t>missions</t>
  </si>
  <si>
    <t>Périodes en mission (hors centre)</t>
  </si>
  <si>
    <t>unavailability_periods</t>
  </si>
  <si>
    <t>indisponibilités</t>
  </si>
  <si>
    <t>Indisponibilité ponctuelle du formateur</t>
  </si>
  <si>
    <t>périodes de faible activité</t>
  </si>
  <si>
    <t>Fenêtres où l'activité est réduite sans être nulle</t>
  </si>
  <si>
    <t>Date début/fin + coef.</t>
  </si>
  <si>
    <t>jours fériés</t>
  </si>
  <si>
    <t>Jours fériés officiels</t>
  </si>
  <si>
    <t>calendar_exclusions</t>
  </si>
  <si>
    <t>périodes exclues du calcul</t>
  </si>
  <si>
    <t>Fenêtres neutralisées pour l'animation (cf. présentation, diapo 4)</t>
  </si>
  <si>
    <t>capacité théorique</t>
  </si>
  <si>
    <t>Capacité de base attendue avant ajustements</t>
  </si>
  <si>
    <t>Décimal (jours)</t>
  </si>
  <si>
    <t>capacity_targets</t>
  </si>
  <si>
    <t>capacité réellement disponible</t>
  </si>
  <si>
    <t>Capacité nette après congés/indispo/fenêtres</t>
  </si>
  <si>
    <t>Période</t>
  </si>
  <si>
    <t>Date début</t>
  </si>
  <si>
    <t>Date fin</t>
  </si>
  <si>
    <t>Jours ouvrés neutralisés</t>
  </si>
  <si>
    <t>Coefficient capacité</t>
  </si>
  <si>
    <t>2 premières semaines janvier</t>
  </si>
  <si>
    <t>2026-01-01</t>
  </si>
  <si>
    <t>2026-01-14</t>
  </si>
  <si>
    <t>Semaine Aïd Al-Fitr</t>
  </si>
  <si>
    <t>2026-03-16</t>
  </si>
  <si>
    <t>2026-03-22</t>
  </si>
  <si>
    <t>Date indicative, à confirmer selon annonce officielle</t>
  </si>
  <si>
    <t>Semaine Aïd Al-Adha</t>
  </si>
  <si>
    <t>2026-05-25</t>
  </si>
  <si>
    <t>2026-05-31</t>
  </si>
  <si>
    <t>Semaine post Aïd Al-Adha</t>
  </si>
  <si>
    <t>2026-06-01</t>
  </si>
  <si>
    <t>2026-06-07</t>
  </si>
  <si>
    <t>Juillet complet</t>
  </si>
  <si>
    <t>2026-07-01</t>
  </si>
  <si>
    <t>2026-07-31</t>
  </si>
  <si>
    <t>Août complet</t>
  </si>
  <si>
    <t>2026-08-01</t>
  </si>
  <si>
    <t>2026-08-31</t>
  </si>
  <si>
    <t>2 premières semaines septembre</t>
  </si>
  <si>
    <t>2026-09-01</t>
  </si>
  <si>
    <t>2026-09-14</t>
  </si>
  <si>
    <t>Dernière semaine décembre</t>
  </si>
  <si>
    <t>2026-12-28</t>
  </si>
  <si>
    <t>2026-12-31</t>
  </si>
  <si>
    <t>TOTAL</t>
  </si>
  <si>
    <t>Trainer Capacity Hub — Règles de calcul de la capacité (base 2026)</t>
  </si>
  <si>
    <t>Jours calendaires 2026</t>
  </si>
  <si>
    <t>Week-ends</t>
  </si>
  <si>
    <t>Jours ouvrés</t>
  </si>
  <si>
    <t>Jours ouvrés neutralisés (animation bloquée)</t>
  </si>
  <si>
    <t>Jours favorables à l'animation</t>
  </si>
  <si>
    <t>Taux cible animation</t>
  </si>
  <si>
    <t>Cible animation, brut (jours)</t>
  </si>
  <si>
    <t>Cible animation, arrondi de pilotage (jours/formateur/an)</t>
  </si>
  <si>
    <t>Capacité globale nette (jours/an)</t>
  </si>
  <si>
    <t>Table</t>
  </si>
  <si>
    <t>Description (planning tuteur)</t>
  </si>
  <si>
    <t>Catégorie liée (onglet Inventaire_donnees)</t>
  </si>
  <si>
    <t>Comptes permettant l'accès à la plateforme.</t>
  </si>
  <si>
    <t>Informations professionnelles des utilisateurs.</t>
  </si>
  <si>
    <t>roles</t>
  </si>
  <si>
    <t>Rôles : formateur, manager, administrateur, superadministrateur.</t>
  </si>
  <si>
    <t>centers</t>
  </si>
  <si>
    <t>Centres TechniX concernés.</t>
  </si>
  <si>
    <t>Utilisateurs / Charge</t>
  </si>
  <si>
    <t>specialties</t>
  </si>
  <si>
    <t>Spécialités et domaines d'intervention.</t>
  </si>
  <si>
    <t>Activités déclarées par les formateurs.</t>
  </si>
  <si>
    <t>Types d'activités : animation, préparation, correction, réunion, visite, accompagnement, gestion.</t>
  </si>
  <si>
    <t>Programmes ou formations concernés.</t>
  </si>
  <si>
    <t>Clients internes ou externes.</t>
  </si>
  <si>
    <t>Congés et absences.</t>
  </si>
  <si>
    <t>Périodes d'indisponibilité.</t>
  </si>
  <si>
    <t>Périodes exclues ou réduites dans le calcul de la capacité (cf. onglet Fenetres_neutralisees_2026).</t>
  </si>
  <si>
    <t>Capacité théorique attendue par formateur ou par période (cf. onglet Regles_calcul_capacite).</t>
  </si>
  <si>
    <t>weekly_declarations</t>
  </si>
  <si>
    <t>Déclarations hebdomadaires des formateurs.</t>
  </si>
  <si>
    <t>validation_history</t>
  </si>
  <si>
    <t>Historique des validations et des modifications.</t>
  </si>
  <si>
    <t>Trainer Capacity Hub — Analyse des besoins par profil utilisateur</t>
  </si>
  <si>
    <t>Profil</t>
  </si>
  <si>
    <t>Ce qu'il doit pouvoir faire</t>
  </si>
  <si>
    <t>Données dont il a besoin</t>
  </si>
  <si>
    <t>Point de vigilance</t>
  </si>
  <si>
    <t>Formateur</t>
  </si>
  <si>
    <t>Déclarer facilement ses activités (type, durée, programme, client), ses congés et indisponibilités ; visualiser sa propre capacité restante (globale et animation).</t>
  </si>
  <si>
    <t>Ses propres activities, leaves, unavailability_periods ; sa capacity_targets ; le référentiel programs/clients/centers.</t>
  </si>
  <si>
    <t>Manager</t>
  </si>
  <si>
    <t>activities et validation_history de ses formateurs ; capacity_targets par formateur ; alertes calculées côté serveur.</t>
  </si>
  <si>
    <t>Administrateur / Superadministrateur</t>
  </si>
  <si>
    <t>Toutes les tables de référence (roles, centers, specialties, programs, clients) ; calendar_exclusions ; vue agrégée sur activities/capacity_targets de tous les centres.</t>
  </si>
  <si>
    <t>Trainer Capacity Hub — Nomenclature commune (proposition)</t>
  </si>
  <si>
    <t>Terme métier (FR)</t>
  </si>
  <si>
    <t>Nom technique proposé</t>
  </si>
  <si>
    <t>Table cible</t>
  </si>
  <si>
    <t>Type de donnée (SQL)</t>
  </si>
  <si>
    <t>employee_id</t>
  </si>
  <si>
    <t>VARCHAR</t>
  </si>
  <si>
    <t>Clé métier, distincte de l'id technique auto-incrémenté.</t>
  </si>
  <si>
    <t>last_name / first_name</t>
  </si>
  <si>
    <t>VARCHAR (x2)</t>
  </si>
  <si>
    <t>Séparé en 2 colonnes plutôt qu'un champ unique.</t>
  </si>
  <si>
    <t>email</t>
  </si>
  <si>
    <t>VARCHAR (unique)</t>
  </si>
  <si>
    <t>Sert aussi d'identifiant de connexion — contrainte d'unicité.</t>
  </si>
  <si>
    <t>role_id</t>
  </si>
  <si>
    <t>users → roles</t>
  </si>
  <si>
    <t>INTEGER (FK)</t>
  </si>
  <si>
    <t>Référence vers la table roles.</t>
  </si>
  <si>
    <t>job_title</t>
  </si>
  <si>
    <t>specialty_id</t>
  </si>
  <si>
    <t>profiles → specialties</t>
  </si>
  <si>
    <t>home_center_id</t>
  </si>
  <si>
    <t>profiles → centers</t>
  </si>
  <si>
    <t>Distinct du centre d'une activité ponctuelle.</t>
  </si>
  <si>
    <t>statut actif/inactif</t>
  </si>
  <si>
    <t>is_active</t>
  </si>
  <si>
    <t>BOOLEAN</t>
  </si>
  <si>
    <t>hire_date</t>
  </si>
  <si>
    <t>DATE</t>
  </si>
  <si>
    <t>manager_id</t>
  </si>
  <si>
    <t>profiles → users</t>
  </si>
  <si>
    <t>INTEGER (FK, auto-réf.)</t>
  </si>
  <si>
    <t>trainer_id</t>
  </si>
  <si>
    <t>activities → users</t>
  </si>
  <si>
    <t>activity_date</t>
  </si>
  <si>
    <t>activity_type_id</t>
  </si>
  <si>
    <t>activities → activity_types</t>
  </si>
  <si>
    <t>durée en jours/heures</t>
  </si>
  <si>
    <t>duration_days</t>
  </si>
  <si>
    <t>DECIMAL(5,2)</t>
  </si>
  <si>
    <t>Unité à fixer (jours) — convertir les heures en amont.</t>
  </si>
  <si>
    <t>program_id</t>
  </si>
  <si>
    <t>activities → programs</t>
  </si>
  <si>
    <t>Nullable.</t>
  </si>
  <si>
    <t>client_id</t>
  </si>
  <si>
    <t>activities → clients</t>
  </si>
  <si>
    <t>centre (activité)</t>
  </si>
  <si>
    <t>center_id</t>
  </si>
  <si>
    <t>activities → centers</t>
  </si>
  <si>
    <t>status</t>
  </si>
  <si>
    <t>ENUM</t>
  </si>
  <si>
    <t>draft / submitted / validated / rejected.</t>
  </si>
  <si>
    <t>comment</t>
  </si>
  <si>
    <t>TEXT</t>
  </si>
  <si>
    <t>attachment_id</t>
  </si>
  <si>
    <t>INTEGER (FK, table jointe)</t>
  </si>
  <si>
    <t>Éviter de stocker le fichier directement en base.</t>
  </si>
  <si>
    <t>congés / absences</t>
  </si>
  <si>
    <t>leave_type, start_date, end_date</t>
  </si>
  <si>
    <t>ENUM, DATE, DATE</t>
  </si>
  <si>
    <t>Un seul champ leave_type distingue congé/absence.</t>
  </si>
  <si>
    <t>missions / indisponibilités</t>
  </si>
  <si>
    <t>unavailability_type, start_date, end_date</t>
  </si>
  <si>
    <t>coefficient</t>
  </si>
  <si>
    <t>DECIMAL(3,2)</t>
  </si>
  <si>
    <t>jours fériés / périodes exclues</t>
  </si>
  <si>
    <t>exclusion_type, start_date, end_date, coefficient</t>
  </si>
  <si>
    <t>ENUM, DATE, DATE, DECIMAL</t>
  </si>
  <si>
    <t>Table unique pour jours fériés et fenêtres neutralisées.</t>
  </si>
  <si>
    <t>target_capacity_days</t>
  </si>
  <si>
    <t>DECIMAL(6,2)</t>
  </si>
  <si>
    <t>189 j (globale) ou 107 j (animation) selon le contexte.</t>
  </si>
  <si>
    <t>available_capacity_days</t>
  </si>
  <si>
    <t xml:space="preserve">Fenêtres neutralisées pour l'animation — base 2026 </t>
  </si>
  <si>
    <t>Tables à modéliser</t>
  </si>
  <si>
    <t>Valeurs 0 / 0.25 / 0.5 / 1</t>
  </si>
  <si>
    <t>Champ calculé</t>
  </si>
  <si>
    <t>Créer/importer les comptes ; paramétrer rôles, centres, spécialités, programmes ; configurer les fenêtres neutralisées et coefficients du moteur de règles ; consulter le cockpit global multi-centres .</t>
  </si>
  <si>
    <t>Valider ou rejeter les déclarations de son équipe ; suivre la charge de chaque formateur par rapport à sa cible ; être alerté en cas de dépassement ou d'activité sur une période bloquée .</t>
  </si>
  <si>
    <t>Rôle le plus sensible en termes d'accès aux données nécessite un contrôle d'authentification renforcé.</t>
  </si>
  <si>
    <t>Le manager ne doit voir que les formateurs de son périmètre : nécessite une règle d'accès par centre/équipe.</t>
  </si>
  <si>
    <t>Interface simple et rapide de saisie (mobile/desktop) ; une déclaration trop lourde est le premier risque d'adoption.</t>
  </si>
  <si>
    <t xml:space="preserve">Table cible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</si>
</sst>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808080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4"/>
      <color rgb="FFFFFFFF"/>
      <name val="Arial"/>
      <charset val="1"/>
    </font>
    <font>
      <i/>
      <sz val="10"/>
      <color rgb="FF59595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9E2F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9" fontId="5" fillId="0" borderId="1" xfId="0" applyNumberFormat="1" applyFont="1" applyBorder="1" applyAlignment="1">
      <alignment vertical="top" wrapText="1"/>
    </xf>
    <xf numFmtId="0" fontId="6" fillId="0" borderId="1" xfId="0" applyFont="1" applyBorder="1"/>
    <xf numFmtId="0" fontId="0" fillId="0" borderId="1" xfId="0" applyBorder="1"/>
    <xf numFmtId="0" fontId="4" fillId="3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vertical="top" wrapText="1"/>
    </xf>
    <xf numFmtId="0" fontId="8" fillId="2" borderId="0" xfId="0" applyFont="1" applyFill="1" applyAlignment="1">
      <alignment vertical="center" wrapText="1"/>
    </xf>
    <xf numFmtId="0" fontId="9" fillId="0" borderId="0" xfId="0" applyFont="1" applyAlignment="1">
      <alignment vertical="top" wrapText="1"/>
    </xf>
    <xf numFmtId="0" fontId="8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8B9D-7F2E-4808-867B-950DB711B2F8}">
  <dimension ref="A1:H33"/>
  <sheetViews>
    <sheetView tabSelected="1" zoomScale="63" workbookViewId="0">
      <selection activeCell="I8" sqref="I8"/>
    </sheetView>
  </sheetViews>
  <sheetFormatPr baseColWidth="10" defaultRowHeight="14.5" x14ac:dyDescent="0.35"/>
  <cols>
    <col min="1" max="1" width="27.81640625" customWidth="1"/>
    <col min="2" max="2" width="19.7265625" customWidth="1"/>
    <col min="3" max="3" width="22.90625" customWidth="1"/>
    <col min="4" max="5" width="20.08984375" customWidth="1"/>
    <col min="6" max="6" width="14.7265625" customWidth="1"/>
    <col min="7" max="7" width="17.08984375" customWidth="1"/>
  </cols>
  <sheetData>
    <row r="1" spans="1:8" ht="18" x14ac:dyDescent="0.35">
      <c r="A1" s="16" t="s">
        <v>0</v>
      </c>
      <c r="B1" s="16"/>
      <c r="C1" s="16"/>
      <c r="D1" s="16"/>
      <c r="E1" s="16"/>
      <c r="F1" s="16"/>
      <c r="G1" s="16"/>
      <c r="H1" s="16"/>
    </row>
    <row r="4" spans="1:8" ht="26" x14ac:dyDescent="0.35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257</v>
      </c>
    </row>
    <row r="5" spans="1:8" ht="25" x14ac:dyDescent="0.35">
      <c r="A5" s="15" t="s">
        <v>8</v>
      </c>
      <c r="B5" s="9" t="s">
        <v>9</v>
      </c>
      <c r="C5" s="9" t="s">
        <v>10</v>
      </c>
      <c r="D5" s="9" t="s">
        <v>11</v>
      </c>
      <c r="E5" s="10" t="s">
        <v>12</v>
      </c>
      <c r="F5" s="10" t="s">
        <v>13</v>
      </c>
      <c r="G5" s="10" t="s">
        <v>14</v>
      </c>
    </row>
    <row r="6" spans="1:8" x14ac:dyDescent="0.35">
      <c r="A6" s="15"/>
      <c r="B6" s="9" t="s">
        <v>15</v>
      </c>
      <c r="C6" s="9" t="s">
        <v>16</v>
      </c>
      <c r="D6" s="9" t="s">
        <v>17</v>
      </c>
      <c r="E6" s="11" t="s">
        <v>12</v>
      </c>
      <c r="F6" s="11" t="s">
        <v>13</v>
      </c>
      <c r="G6" s="11" t="s">
        <v>18</v>
      </c>
    </row>
    <row r="7" spans="1:8" ht="25" x14ac:dyDescent="0.35">
      <c r="A7" s="15"/>
      <c r="B7" s="9" t="s">
        <v>19</v>
      </c>
      <c r="C7" s="9" t="s">
        <v>20</v>
      </c>
      <c r="D7" s="9" t="s">
        <v>21</v>
      </c>
      <c r="E7" s="10" t="s">
        <v>12</v>
      </c>
      <c r="F7" s="10" t="s">
        <v>13</v>
      </c>
      <c r="G7" s="10" t="s">
        <v>14</v>
      </c>
    </row>
    <row r="8" spans="1:8" ht="37.5" x14ac:dyDescent="0.35">
      <c r="A8" s="15"/>
      <c r="B8" s="9" t="s">
        <v>22</v>
      </c>
      <c r="C8" s="9" t="s">
        <v>23</v>
      </c>
      <c r="D8" s="9" t="s">
        <v>24</v>
      </c>
      <c r="E8" s="11" t="s">
        <v>12</v>
      </c>
      <c r="F8" s="11" t="s">
        <v>25</v>
      </c>
      <c r="G8" s="11" t="s">
        <v>14</v>
      </c>
    </row>
    <row r="9" spans="1:8" x14ac:dyDescent="0.35">
      <c r="A9" s="15"/>
      <c r="B9" s="9" t="s">
        <v>26</v>
      </c>
      <c r="C9" s="9" t="s">
        <v>27</v>
      </c>
      <c r="D9" s="9" t="s">
        <v>17</v>
      </c>
      <c r="E9" s="11" t="s">
        <v>28</v>
      </c>
      <c r="F9" s="11" t="s">
        <v>25</v>
      </c>
      <c r="G9" s="11" t="s">
        <v>18</v>
      </c>
    </row>
    <row r="10" spans="1:8" ht="25" x14ac:dyDescent="0.35">
      <c r="A10" s="15"/>
      <c r="B10" s="9" t="s">
        <v>29</v>
      </c>
      <c r="C10" s="9" t="s">
        <v>30</v>
      </c>
      <c r="D10" s="9" t="s">
        <v>31</v>
      </c>
      <c r="E10" s="11" t="s">
        <v>12</v>
      </c>
      <c r="F10" s="11" t="s">
        <v>25</v>
      </c>
      <c r="G10" s="11" t="s">
        <v>18</v>
      </c>
    </row>
    <row r="11" spans="1:8" ht="25" x14ac:dyDescent="0.35">
      <c r="A11" s="15"/>
      <c r="B11" s="9" t="s">
        <v>32</v>
      </c>
      <c r="C11" s="9" t="s">
        <v>33</v>
      </c>
      <c r="D11" s="9" t="s">
        <v>31</v>
      </c>
      <c r="E11" s="11" t="s">
        <v>12</v>
      </c>
      <c r="F11" s="11" t="s">
        <v>25</v>
      </c>
      <c r="G11" s="11" t="s">
        <v>18</v>
      </c>
    </row>
    <row r="12" spans="1:8" x14ac:dyDescent="0.35">
      <c r="A12" s="15"/>
      <c r="B12" s="9" t="s">
        <v>34</v>
      </c>
      <c r="C12" s="9" t="s">
        <v>35</v>
      </c>
      <c r="D12" s="9" t="s">
        <v>36</v>
      </c>
      <c r="E12" s="11" t="s">
        <v>12</v>
      </c>
      <c r="F12" s="11" t="s">
        <v>25</v>
      </c>
      <c r="G12" s="11" t="s">
        <v>14</v>
      </c>
    </row>
    <row r="13" spans="1:8" ht="25" x14ac:dyDescent="0.35">
      <c r="A13" s="15"/>
      <c r="B13" s="9" t="s">
        <v>37</v>
      </c>
      <c r="C13" s="9" t="s">
        <v>38</v>
      </c>
      <c r="D13" s="9" t="s">
        <v>39</v>
      </c>
      <c r="E13" s="11" t="s">
        <v>28</v>
      </c>
      <c r="F13" s="11" t="s">
        <v>13</v>
      </c>
      <c r="G13" s="11" t="s">
        <v>18</v>
      </c>
    </row>
    <row r="14" spans="1:8" ht="25" x14ac:dyDescent="0.35">
      <c r="A14" s="15"/>
      <c r="B14" s="9" t="s">
        <v>40</v>
      </c>
      <c r="C14" s="9" t="s">
        <v>41</v>
      </c>
      <c r="D14" s="9" t="s">
        <v>31</v>
      </c>
      <c r="E14" s="11" t="s">
        <v>12</v>
      </c>
      <c r="F14" s="11" t="s">
        <v>25</v>
      </c>
      <c r="G14" s="11" t="s">
        <v>18</v>
      </c>
    </row>
    <row r="15" spans="1:8" ht="25" x14ac:dyDescent="0.35">
      <c r="A15" s="15" t="s">
        <v>42</v>
      </c>
      <c r="B15" s="9" t="s">
        <v>43</v>
      </c>
      <c r="C15" s="9" t="s">
        <v>44</v>
      </c>
      <c r="D15" s="9" t="s">
        <v>45</v>
      </c>
      <c r="E15" s="10" t="s">
        <v>12</v>
      </c>
      <c r="F15" s="10" t="s">
        <v>25</v>
      </c>
      <c r="G15" s="10" t="s">
        <v>46</v>
      </c>
    </row>
    <row r="16" spans="1:8" ht="25" x14ac:dyDescent="0.35">
      <c r="A16" s="15"/>
      <c r="B16" s="9" t="s">
        <v>47</v>
      </c>
      <c r="C16" s="9" t="s">
        <v>48</v>
      </c>
      <c r="D16" s="9" t="s">
        <v>39</v>
      </c>
      <c r="E16" s="11" t="s">
        <v>12</v>
      </c>
      <c r="F16" s="11" t="s">
        <v>25</v>
      </c>
      <c r="G16" s="11" t="s">
        <v>46</v>
      </c>
    </row>
    <row r="17" spans="1:7" ht="37.5" x14ac:dyDescent="0.35">
      <c r="A17" s="15"/>
      <c r="B17" s="9" t="s">
        <v>49</v>
      </c>
      <c r="C17" s="9" t="s">
        <v>50</v>
      </c>
      <c r="D17" s="9" t="s">
        <v>24</v>
      </c>
      <c r="E17" s="11" t="s">
        <v>12</v>
      </c>
      <c r="F17" s="11" t="s">
        <v>25</v>
      </c>
      <c r="G17" s="11" t="s">
        <v>51</v>
      </c>
    </row>
    <row r="18" spans="1:7" ht="25" x14ac:dyDescent="0.35">
      <c r="A18" s="15"/>
      <c r="B18" s="9" t="s">
        <v>52</v>
      </c>
      <c r="C18" s="9" t="s">
        <v>53</v>
      </c>
      <c r="D18" s="9" t="s">
        <v>54</v>
      </c>
      <c r="E18" s="10" t="s">
        <v>12</v>
      </c>
      <c r="F18" s="10" t="s">
        <v>25</v>
      </c>
      <c r="G18" s="10" t="s">
        <v>46</v>
      </c>
    </row>
    <row r="19" spans="1:7" ht="25" x14ac:dyDescent="0.35">
      <c r="A19" s="15"/>
      <c r="B19" s="9" t="s">
        <v>55</v>
      </c>
      <c r="C19" s="9" t="s">
        <v>56</v>
      </c>
      <c r="D19" s="9" t="s">
        <v>31</v>
      </c>
      <c r="E19" s="11" t="s">
        <v>28</v>
      </c>
      <c r="F19" s="11" t="s">
        <v>25</v>
      </c>
      <c r="G19" s="11" t="s">
        <v>57</v>
      </c>
    </row>
    <row r="20" spans="1:7" x14ac:dyDescent="0.35">
      <c r="A20" s="15"/>
      <c r="B20" s="9" t="s">
        <v>58</v>
      </c>
      <c r="C20" s="9" t="s">
        <v>59</v>
      </c>
      <c r="D20" s="9" t="s">
        <v>31</v>
      </c>
      <c r="E20" s="11" t="s">
        <v>28</v>
      </c>
      <c r="F20" s="11" t="s">
        <v>25</v>
      </c>
      <c r="G20" s="11" t="s">
        <v>60</v>
      </c>
    </row>
    <row r="21" spans="1:7" ht="25" x14ac:dyDescent="0.35">
      <c r="A21" s="15"/>
      <c r="B21" s="9" t="s">
        <v>61</v>
      </c>
      <c r="C21" s="9" t="s">
        <v>62</v>
      </c>
      <c r="D21" s="9" t="s">
        <v>31</v>
      </c>
      <c r="E21" s="11" t="s">
        <v>12</v>
      </c>
      <c r="F21" s="11" t="s">
        <v>25</v>
      </c>
      <c r="G21" s="11" t="s">
        <v>46</v>
      </c>
    </row>
    <row r="22" spans="1:7" ht="25" x14ac:dyDescent="0.35">
      <c r="A22" s="15"/>
      <c r="B22" s="9" t="s">
        <v>63</v>
      </c>
      <c r="C22" s="9" t="s">
        <v>64</v>
      </c>
      <c r="D22" s="9" t="s">
        <v>24</v>
      </c>
      <c r="E22" s="11" t="s">
        <v>12</v>
      </c>
      <c r="F22" s="11" t="s">
        <v>25</v>
      </c>
      <c r="G22" s="11" t="s">
        <v>65</v>
      </c>
    </row>
    <row r="23" spans="1:7" x14ac:dyDescent="0.35">
      <c r="A23" s="15"/>
      <c r="B23" s="9" t="s">
        <v>66</v>
      </c>
      <c r="C23" s="9" t="s">
        <v>67</v>
      </c>
      <c r="D23" s="9" t="s">
        <v>68</v>
      </c>
      <c r="E23" s="11" t="s">
        <v>28</v>
      </c>
      <c r="F23" s="11" t="s">
        <v>13</v>
      </c>
      <c r="G23" s="11" t="s">
        <v>46</v>
      </c>
    </row>
    <row r="24" spans="1:7" ht="25" x14ac:dyDescent="0.35">
      <c r="A24" s="15"/>
      <c r="B24" s="9" t="s">
        <v>69</v>
      </c>
      <c r="C24" s="9" t="s">
        <v>70</v>
      </c>
      <c r="D24" s="9" t="s">
        <v>71</v>
      </c>
      <c r="E24" s="11" t="s">
        <v>28</v>
      </c>
      <c r="F24" s="11" t="s">
        <v>13</v>
      </c>
      <c r="G24" s="11" t="s">
        <v>46</v>
      </c>
    </row>
    <row r="25" spans="1:7" ht="25" x14ac:dyDescent="0.35">
      <c r="A25" s="15" t="s">
        <v>72</v>
      </c>
      <c r="B25" s="9" t="s">
        <v>73</v>
      </c>
      <c r="C25" s="9" t="s">
        <v>74</v>
      </c>
      <c r="D25" s="9" t="s">
        <v>75</v>
      </c>
      <c r="E25" s="11" t="s">
        <v>12</v>
      </c>
      <c r="F25" s="11" t="s">
        <v>13</v>
      </c>
      <c r="G25" s="11" t="s">
        <v>76</v>
      </c>
    </row>
    <row r="26" spans="1:7" x14ac:dyDescent="0.35">
      <c r="A26" s="15"/>
      <c r="B26" s="9" t="s">
        <v>77</v>
      </c>
      <c r="C26" s="9" t="s">
        <v>78</v>
      </c>
      <c r="D26" s="9" t="s">
        <v>75</v>
      </c>
      <c r="E26" s="11" t="s">
        <v>12</v>
      </c>
      <c r="F26" s="11" t="s">
        <v>13</v>
      </c>
      <c r="G26" s="11" t="s">
        <v>76</v>
      </c>
    </row>
    <row r="27" spans="1:7" ht="25" x14ac:dyDescent="0.35">
      <c r="A27" s="15"/>
      <c r="B27" s="9" t="s">
        <v>79</v>
      </c>
      <c r="C27" s="9" t="s">
        <v>80</v>
      </c>
      <c r="D27" s="9" t="s">
        <v>75</v>
      </c>
      <c r="E27" s="11" t="s">
        <v>28</v>
      </c>
      <c r="F27" s="11" t="s">
        <v>25</v>
      </c>
      <c r="G27" s="11" t="s">
        <v>81</v>
      </c>
    </row>
    <row r="28" spans="1:7" ht="25" x14ac:dyDescent="0.35">
      <c r="A28" s="15"/>
      <c r="B28" s="9" t="s">
        <v>82</v>
      </c>
      <c r="C28" s="9" t="s">
        <v>83</v>
      </c>
      <c r="D28" s="9" t="s">
        <v>75</v>
      </c>
      <c r="E28" s="11" t="s">
        <v>12</v>
      </c>
      <c r="F28" s="11" t="s">
        <v>13</v>
      </c>
      <c r="G28" s="11" t="s">
        <v>81</v>
      </c>
    </row>
    <row r="29" spans="1:7" ht="25" x14ac:dyDescent="0.35">
      <c r="A29" s="15"/>
      <c r="B29" s="9" t="s">
        <v>84</v>
      </c>
      <c r="C29" s="9" t="s">
        <v>85</v>
      </c>
      <c r="D29" s="9" t="s">
        <v>86</v>
      </c>
      <c r="E29" s="11" t="s">
        <v>28</v>
      </c>
      <c r="F29" s="11" t="s">
        <v>25</v>
      </c>
      <c r="G29" s="11" t="s">
        <v>81</v>
      </c>
    </row>
    <row r="30" spans="1:7" x14ac:dyDescent="0.35">
      <c r="A30" s="15"/>
      <c r="B30" s="9" t="s">
        <v>87</v>
      </c>
      <c r="C30" s="9" t="s">
        <v>88</v>
      </c>
      <c r="D30" s="9" t="s">
        <v>39</v>
      </c>
      <c r="E30" s="11" t="s">
        <v>12</v>
      </c>
      <c r="F30" s="11" t="s">
        <v>25</v>
      </c>
      <c r="G30" s="11" t="s">
        <v>89</v>
      </c>
    </row>
    <row r="31" spans="1:7" ht="37.5" x14ac:dyDescent="0.35">
      <c r="A31" s="15"/>
      <c r="B31" s="9" t="s">
        <v>90</v>
      </c>
      <c r="C31" s="9" t="s">
        <v>91</v>
      </c>
      <c r="D31" s="9" t="s">
        <v>86</v>
      </c>
      <c r="E31" s="10" t="s">
        <v>12</v>
      </c>
      <c r="F31" s="10" t="s">
        <v>25</v>
      </c>
      <c r="G31" s="10" t="s">
        <v>89</v>
      </c>
    </row>
    <row r="32" spans="1:7" ht="25" x14ac:dyDescent="0.35">
      <c r="A32" s="15"/>
      <c r="B32" s="9" t="s">
        <v>92</v>
      </c>
      <c r="C32" s="9" t="s">
        <v>93</v>
      </c>
      <c r="D32" s="9" t="s">
        <v>94</v>
      </c>
      <c r="E32" s="11" t="s">
        <v>12</v>
      </c>
      <c r="F32" s="11" t="s">
        <v>25</v>
      </c>
      <c r="G32" s="11" t="s">
        <v>95</v>
      </c>
    </row>
    <row r="33" spans="1:7" ht="25" x14ac:dyDescent="0.35">
      <c r="A33" s="15"/>
      <c r="B33" s="9" t="s">
        <v>96</v>
      </c>
      <c r="C33" s="9" t="s">
        <v>97</v>
      </c>
      <c r="D33" s="9" t="s">
        <v>94</v>
      </c>
      <c r="E33" s="11" t="s">
        <v>12</v>
      </c>
      <c r="F33" s="11" t="s">
        <v>25</v>
      </c>
      <c r="G33" s="11" t="s">
        <v>95</v>
      </c>
    </row>
  </sheetData>
  <mergeCells count="4">
    <mergeCell ref="A5:A14"/>
    <mergeCell ref="A15:A24"/>
    <mergeCell ref="A25:A33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zoomScaleNormal="100" workbookViewId="0">
      <selection sqref="A1:F1"/>
    </sheetView>
  </sheetViews>
  <sheetFormatPr baseColWidth="10" defaultColWidth="8.6328125" defaultRowHeight="14.5" x14ac:dyDescent="0.35"/>
  <cols>
    <col min="1" max="1" width="30" customWidth="1"/>
    <col min="2" max="3" width="13" customWidth="1"/>
    <col min="4" max="4" width="20" customWidth="1"/>
    <col min="5" max="5" width="16" customWidth="1"/>
    <col min="6" max="6" width="45" customWidth="1"/>
  </cols>
  <sheetData>
    <row r="1" spans="1:6" ht="17.25" customHeight="1" x14ac:dyDescent="0.4">
      <c r="A1" s="17" t="s">
        <v>248</v>
      </c>
      <c r="B1" s="17"/>
      <c r="C1" s="17"/>
      <c r="D1" s="17"/>
      <c r="E1" s="17"/>
      <c r="F1" s="17"/>
    </row>
    <row r="2" spans="1:6" ht="15" customHeight="1" x14ac:dyDescent="0.35">
      <c r="A2" s="18"/>
      <c r="B2" s="18"/>
      <c r="C2" s="18"/>
      <c r="D2" s="18"/>
      <c r="E2" s="18"/>
      <c r="F2" s="18"/>
    </row>
    <row r="3" spans="1:6" ht="15" customHeight="1" x14ac:dyDescent="0.35">
      <c r="A3" s="18"/>
      <c r="B3" s="18"/>
      <c r="C3" s="18"/>
      <c r="D3" s="18"/>
      <c r="E3" s="18"/>
      <c r="F3" s="18"/>
    </row>
    <row r="5" spans="1:6" ht="23.25" customHeight="1" x14ac:dyDescent="0.35">
      <c r="A5" s="1" t="s">
        <v>98</v>
      </c>
      <c r="B5" s="1" t="s">
        <v>99</v>
      </c>
      <c r="C5" s="1" t="s">
        <v>100</v>
      </c>
      <c r="D5" s="1" t="s">
        <v>101</v>
      </c>
      <c r="E5" s="1" t="s">
        <v>102</v>
      </c>
      <c r="F5" s="1" t="s">
        <v>7</v>
      </c>
    </row>
    <row r="6" spans="1:6" ht="15" customHeight="1" x14ac:dyDescent="0.35">
      <c r="A6" s="2" t="s">
        <v>103</v>
      </c>
      <c r="B6" s="2" t="s">
        <v>104</v>
      </c>
      <c r="C6" s="2" t="s">
        <v>105</v>
      </c>
      <c r="D6" s="2">
        <v>10</v>
      </c>
      <c r="E6" s="3">
        <v>0</v>
      </c>
      <c r="F6" s="2"/>
    </row>
    <row r="7" spans="1:6" ht="15" customHeight="1" x14ac:dyDescent="0.35">
      <c r="A7" s="2" t="s">
        <v>106</v>
      </c>
      <c r="B7" s="2" t="s">
        <v>107</v>
      </c>
      <c r="C7" s="2" t="s">
        <v>108</v>
      </c>
      <c r="D7" s="2">
        <v>5</v>
      </c>
      <c r="E7" s="3">
        <v>0</v>
      </c>
      <c r="F7" s="2" t="s">
        <v>109</v>
      </c>
    </row>
    <row r="8" spans="1:6" ht="15" customHeight="1" x14ac:dyDescent="0.35">
      <c r="A8" s="2" t="s">
        <v>110</v>
      </c>
      <c r="B8" s="2" t="s">
        <v>111</v>
      </c>
      <c r="C8" s="2" t="s">
        <v>112</v>
      </c>
      <c r="D8" s="2">
        <v>5</v>
      </c>
      <c r="E8" s="3">
        <v>0</v>
      </c>
      <c r="F8" s="2" t="s">
        <v>109</v>
      </c>
    </row>
    <row r="9" spans="1:6" ht="15" customHeight="1" x14ac:dyDescent="0.35">
      <c r="A9" s="2" t="s">
        <v>113</v>
      </c>
      <c r="B9" s="2" t="s">
        <v>114</v>
      </c>
      <c r="C9" s="2" t="s">
        <v>115</v>
      </c>
      <c r="D9" s="2">
        <v>5</v>
      </c>
      <c r="E9" s="3">
        <v>0</v>
      </c>
      <c r="F9" s="2"/>
    </row>
    <row r="10" spans="1:6" ht="15" customHeight="1" x14ac:dyDescent="0.35">
      <c r="A10" s="2" t="s">
        <v>116</v>
      </c>
      <c r="B10" s="2" t="s">
        <v>117</v>
      </c>
      <c r="C10" s="2" t="s">
        <v>118</v>
      </c>
      <c r="D10" s="2">
        <v>23</v>
      </c>
      <c r="E10" s="3">
        <v>0</v>
      </c>
      <c r="F10" s="2"/>
    </row>
    <row r="11" spans="1:6" ht="15" customHeight="1" x14ac:dyDescent="0.35">
      <c r="A11" s="2" t="s">
        <v>119</v>
      </c>
      <c r="B11" s="2" t="s">
        <v>120</v>
      </c>
      <c r="C11" s="2" t="s">
        <v>121</v>
      </c>
      <c r="D11" s="2">
        <v>21</v>
      </c>
      <c r="E11" s="3">
        <v>0</v>
      </c>
      <c r="F11" s="2"/>
    </row>
    <row r="12" spans="1:6" ht="15" customHeight="1" x14ac:dyDescent="0.35">
      <c r="A12" s="2" t="s">
        <v>122</v>
      </c>
      <c r="B12" s="2" t="s">
        <v>123</v>
      </c>
      <c r="C12" s="2" t="s">
        <v>124</v>
      </c>
      <c r="D12" s="2">
        <v>10</v>
      </c>
      <c r="E12" s="3">
        <v>0</v>
      </c>
      <c r="F12" s="2"/>
    </row>
    <row r="13" spans="1:6" ht="15" customHeight="1" x14ac:dyDescent="0.35">
      <c r="A13" s="2" t="s">
        <v>125</v>
      </c>
      <c r="B13" s="2" t="s">
        <v>126</v>
      </c>
      <c r="C13" s="2" t="s">
        <v>127</v>
      </c>
      <c r="D13" s="2">
        <v>4</v>
      </c>
      <c r="E13" s="3">
        <v>0</v>
      </c>
      <c r="F13" s="2"/>
    </row>
    <row r="14" spans="1:6" ht="15" customHeight="1" x14ac:dyDescent="0.35">
      <c r="A14" s="4" t="s">
        <v>128</v>
      </c>
      <c r="B14" s="5"/>
      <c r="C14" s="5"/>
      <c r="D14" s="4">
        <f>SUM(D6:D13)</f>
        <v>83</v>
      </c>
      <c r="E14" s="5"/>
      <c r="F14" s="5"/>
    </row>
  </sheetData>
  <mergeCells count="2">
    <mergeCell ref="A1:F1"/>
    <mergeCell ref="A2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zoomScaleNormal="100" workbookViewId="0">
      <selection activeCell="F11" sqref="F11"/>
    </sheetView>
  </sheetViews>
  <sheetFormatPr baseColWidth="10" defaultColWidth="8.6328125" defaultRowHeight="14.5" x14ac:dyDescent="0.35"/>
  <cols>
    <col min="1" max="1" width="46" customWidth="1"/>
    <col min="2" max="2" width="16" customWidth="1"/>
    <col min="3" max="3" width="55" customWidth="1"/>
  </cols>
  <sheetData>
    <row r="1" spans="1:3" ht="17.25" customHeight="1" x14ac:dyDescent="0.4">
      <c r="A1" s="17" t="s">
        <v>129</v>
      </c>
      <c r="B1" s="17"/>
      <c r="C1" s="17"/>
    </row>
    <row r="2" spans="1:3" ht="15" customHeight="1" x14ac:dyDescent="0.35">
      <c r="A2" s="18"/>
      <c r="B2" s="18"/>
      <c r="C2" s="18"/>
    </row>
    <row r="3" spans="1:3" ht="15" customHeight="1" x14ac:dyDescent="0.35">
      <c r="A3" s="18"/>
      <c r="B3" s="18"/>
      <c r="C3" s="18"/>
    </row>
    <row r="6" spans="1:3" ht="15" customHeight="1" x14ac:dyDescent="0.35">
      <c r="A6" s="7" t="s">
        <v>130</v>
      </c>
      <c r="B6" s="14">
        <v>365</v>
      </c>
      <c r="C6" s="12"/>
    </row>
    <row r="7" spans="1:3" ht="15" customHeight="1" x14ac:dyDescent="0.35">
      <c r="A7" s="7" t="s">
        <v>131</v>
      </c>
      <c r="B7" s="14">
        <v>104</v>
      </c>
      <c r="C7" s="12"/>
    </row>
    <row r="8" spans="1:3" ht="15" customHeight="1" x14ac:dyDescent="0.35">
      <c r="A8" s="7" t="s">
        <v>132</v>
      </c>
      <c r="B8" s="7">
        <f>B6-B7</f>
        <v>261</v>
      </c>
      <c r="C8" s="12"/>
    </row>
    <row r="9" spans="1:3" ht="15" customHeight="1" x14ac:dyDescent="0.35">
      <c r="A9" s="7" t="s">
        <v>133</v>
      </c>
      <c r="B9" s="7">
        <f>Fenetres_neutralisees_2026!D14</f>
        <v>83</v>
      </c>
      <c r="C9" s="13"/>
    </row>
    <row r="10" spans="1:3" ht="15" customHeight="1" x14ac:dyDescent="0.35">
      <c r="A10" s="7" t="s">
        <v>134</v>
      </c>
      <c r="B10" s="7">
        <f>B8-B9</f>
        <v>178</v>
      </c>
      <c r="C10" s="12"/>
    </row>
    <row r="11" spans="1:3" ht="15" customHeight="1" x14ac:dyDescent="0.35">
      <c r="A11" s="7" t="s">
        <v>135</v>
      </c>
      <c r="B11" s="14">
        <v>0.6</v>
      </c>
      <c r="C11" s="13"/>
    </row>
    <row r="12" spans="1:3" ht="15" customHeight="1" x14ac:dyDescent="0.35">
      <c r="A12" s="7" t="s">
        <v>136</v>
      </c>
      <c r="B12" s="7">
        <f>B10*B11</f>
        <v>106.8</v>
      </c>
      <c r="C12" s="12"/>
    </row>
    <row r="13" spans="1:3" ht="15" customHeight="1" x14ac:dyDescent="0.35">
      <c r="A13" s="7" t="s">
        <v>137</v>
      </c>
      <c r="B13" s="14">
        <v>107</v>
      </c>
      <c r="C13" s="13"/>
    </row>
    <row r="14" spans="1:3" ht="21.75" customHeight="1" x14ac:dyDescent="0.35">
      <c r="A14" s="7" t="s">
        <v>138</v>
      </c>
      <c r="B14" s="14">
        <v>189</v>
      </c>
      <c r="C14" s="13"/>
    </row>
  </sheetData>
  <mergeCells count="2">
    <mergeCell ref="A1:C1"/>
    <mergeCell ref="A2:C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zoomScaleNormal="100" workbookViewId="0">
      <selection activeCell="G10" sqref="G10"/>
    </sheetView>
  </sheetViews>
  <sheetFormatPr baseColWidth="10" defaultColWidth="8.6328125" defaultRowHeight="14.5" x14ac:dyDescent="0.35"/>
  <cols>
    <col min="1" max="1" width="24" customWidth="1"/>
    <col min="2" max="2" width="60" customWidth="1"/>
    <col min="3" max="3" width="30" customWidth="1"/>
  </cols>
  <sheetData>
    <row r="1" spans="1:3" ht="17.25" customHeight="1" x14ac:dyDescent="0.35">
      <c r="A1" s="16" t="s">
        <v>249</v>
      </c>
      <c r="B1" s="16"/>
      <c r="C1" s="16"/>
    </row>
    <row r="3" spans="1:3" ht="23.25" customHeight="1" x14ac:dyDescent="0.35">
      <c r="A3" s="1" t="s">
        <v>139</v>
      </c>
      <c r="B3" s="1" t="s">
        <v>140</v>
      </c>
      <c r="C3" s="1" t="s">
        <v>141</v>
      </c>
    </row>
    <row r="4" spans="1:3" ht="15" customHeight="1" x14ac:dyDescent="0.35">
      <c r="A4" s="2" t="s">
        <v>14</v>
      </c>
      <c r="B4" s="2" t="s">
        <v>142</v>
      </c>
      <c r="C4" s="2" t="s">
        <v>8</v>
      </c>
    </row>
    <row r="5" spans="1:3" ht="15" customHeight="1" x14ac:dyDescent="0.35">
      <c r="A5" s="2" t="s">
        <v>18</v>
      </c>
      <c r="B5" s="2" t="s">
        <v>143</v>
      </c>
      <c r="C5" s="2" t="s">
        <v>8</v>
      </c>
    </row>
    <row r="6" spans="1:3" ht="15" customHeight="1" x14ac:dyDescent="0.35">
      <c r="A6" s="2" t="s">
        <v>144</v>
      </c>
      <c r="B6" s="2" t="s">
        <v>145</v>
      </c>
      <c r="C6" s="2" t="s">
        <v>8</v>
      </c>
    </row>
    <row r="7" spans="1:3" ht="15" customHeight="1" x14ac:dyDescent="0.35">
      <c r="A7" s="2" t="s">
        <v>146</v>
      </c>
      <c r="B7" s="2" t="s">
        <v>147</v>
      </c>
      <c r="C7" s="2" t="s">
        <v>148</v>
      </c>
    </row>
    <row r="8" spans="1:3" ht="15" customHeight="1" x14ac:dyDescent="0.35">
      <c r="A8" s="2" t="s">
        <v>149</v>
      </c>
      <c r="B8" s="2" t="s">
        <v>150</v>
      </c>
      <c r="C8" s="2" t="s">
        <v>8</v>
      </c>
    </row>
    <row r="9" spans="1:3" ht="15" customHeight="1" x14ac:dyDescent="0.35">
      <c r="A9" s="2" t="s">
        <v>46</v>
      </c>
      <c r="B9" s="2" t="s">
        <v>151</v>
      </c>
      <c r="C9" s="2" t="s">
        <v>42</v>
      </c>
    </row>
    <row r="10" spans="1:3" ht="23.25" customHeight="1" x14ac:dyDescent="0.35">
      <c r="A10" s="2" t="s">
        <v>51</v>
      </c>
      <c r="B10" s="2" t="s">
        <v>152</v>
      </c>
      <c r="C10" s="2" t="s">
        <v>42</v>
      </c>
    </row>
    <row r="11" spans="1:3" ht="15" customHeight="1" x14ac:dyDescent="0.35">
      <c r="A11" s="2" t="s">
        <v>57</v>
      </c>
      <c r="B11" s="2" t="s">
        <v>153</v>
      </c>
      <c r="C11" s="2" t="s">
        <v>42</v>
      </c>
    </row>
    <row r="12" spans="1:3" ht="15" customHeight="1" x14ac:dyDescent="0.35">
      <c r="A12" s="2" t="s">
        <v>60</v>
      </c>
      <c r="B12" s="2" t="s">
        <v>154</v>
      </c>
      <c r="C12" s="2" t="s">
        <v>42</v>
      </c>
    </row>
    <row r="13" spans="1:3" ht="15" customHeight="1" x14ac:dyDescent="0.35">
      <c r="A13" s="2" t="s">
        <v>76</v>
      </c>
      <c r="B13" s="2" t="s">
        <v>155</v>
      </c>
      <c r="C13" s="2" t="s">
        <v>72</v>
      </c>
    </row>
    <row r="14" spans="1:3" ht="15" customHeight="1" x14ac:dyDescent="0.35">
      <c r="A14" s="2" t="s">
        <v>81</v>
      </c>
      <c r="B14" s="2" t="s">
        <v>156</v>
      </c>
      <c r="C14" s="2" t="s">
        <v>72</v>
      </c>
    </row>
    <row r="15" spans="1:3" ht="23.25" customHeight="1" x14ac:dyDescent="0.35">
      <c r="A15" s="2" t="s">
        <v>89</v>
      </c>
      <c r="B15" s="2" t="s">
        <v>157</v>
      </c>
      <c r="C15" s="2" t="s">
        <v>72</v>
      </c>
    </row>
    <row r="16" spans="1:3" ht="23.25" customHeight="1" x14ac:dyDescent="0.35">
      <c r="A16" s="2" t="s">
        <v>95</v>
      </c>
      <c r="B16" s="2" t="s">
        <v>158</v>
      </c>
      <c r="C16" s="2" t="s">
        <v>72</v>
      </c>
    </row>
    <row r="17" spans="1:3" ht="15" customHeight="1" x14ac:dyDescent="0.35">
      <c r="A17" s="2" t="s">
        <v>159</v>
      </c>
      <c r="B17" s="2" t="s">
        <v>160</v>
      </c>
      <c r="C17" s="2" t="s">
        <v>42</v>
      </c>
    </row>
    <row r="18" spans="1:3" ht="15" customHeight="1" x14ac:dyDescent="0.35">
      <c r="A18" s="2" t="s">
        <v>161</v>
      </c>
      <c r="B18" s="2" t="s">
        <v>162</v>
      </c>
      <c r="C18" s="2" t="s">
        <v>42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showGridLines="0" zoomScaleNormal="100" workbookViewId="0">
      <selection activeCell="D6" sqref="D6"/>
    </sheetView>
  </sheetViews>
  <sheetFormatPr baseColWidth="10" defaultColWidth="8.6328125" defaultRowHeight="14.5" x14ac:dyDescent="0.35"/>
  <cols>
    <col min="1" max="1" width="16" customWidth="1"/>
    <col min="2" max="4" width="42" customWidth="1"/>
  </cols>
  <sheetData>
    <row r="1" spans="1:4" ht="25.5" customHeight="1" x14ac:dyDescent="0.35">
      <c r="A1" s="19" t="s">
        <v>163</v>
      </c>
      <c r="B1" s="19"/>
      <c r="C1" s="19"/>
      <c r="D1" s="19"/>
    </row>
    <row r="2" spans="1:4" ht="15" customHeight="1" x14ac:dyDescent="0.35">
      <c r="A2" s="20"/>
      <c r="B2" s="20"/>
      <c r="C2" s="20"/>
      <c r="D2" s="20"/>
    </row>
    <row r="3" spans="1:4" x14ac:dyDescent="0.35">
      <c r="A3" s="20"/>
      <c r="B3" s="20"/>
      <c r="C3" s="20"/>
      <c r="D3" s="20"/>
    </row>
    <row r="5" spans="1:4" x14ac:dyDescent="0.35">
      <c r="A5" s="6" t="s">
        <v>164</v>
      </c>
      <c r="B5" s="6" t="s">
        <v>165</v>
      </c>
      <c r="C5" s="6" t="s">
        <v>166</v>
      </c>
      <c r="D5" s="6" t="s">
        <v>167</v>
      </c>
    </row>
    <row r="6" spans="1:4" ht="50" x14ac:dyDescent="0.35">
      <c r="A6" s="7" t="s">
        <v>168</v>
      </c>
      <c r="B6" s="7" t="s">
        <v>169</v>
      </c>
      <c r="C6" s="7" t="s">
        <v>170</v>
      </c>
      <c r="D6" s="7" t="s">
        <v>256</v>
      </c>
    </row>
    <row r="7" spans="1:4" ht="50" x14ac:dyDescent="0.35">
      <c r="A7" s="7" t="s">
        <v>171</v>
      </c>
      <c r="B7" s="7" t="s">
        <v>253</v>
      </c>
      <c r="C7" s="7" t="s">
        <v>172</v>
      </c>
      <c r="D7" s="7" t="s">
        <v>255</v>
      </c>
    </row>
    <row r="8" spans="1:4" ht="50" x14ac:dyDescent="0.35">
      <c r="A8" s="7" t="s">
        <v>173</v>
      </c>
      <c r="B8" s="7" t="s">
        <v>252</v>
      </c>
      <c r="C8" s="7" t="s">
        <v>174</v>
      </c>
      <c r="D8" s="7" t="s">
        <v>254</v>
      </c>
    </row>
  </sheetData>
  <mergeCells count="2">
    <mergeCell ref="A1:D1"/>
    <mergeCell ref="A2:D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1"/>
  <sheetViews>
    <sheetView showGridLines="0" topLeftCell="A24" zoomScaleNormal="100" workbookViewId="0">
      <selection activeCell="G6" sqref="G6"/>
    </sheetView>
  </sheetViews>
  <sheetFormatPr baseColWidth="10" defaultColWidth="8.6328125" defaultRowHeight="14.5" x14ac:dyDescent="0.35"/>
  <cols>
    <col min="1" max="2" width="26" customWidth="1"/>
    <col min="3" max="3" width="18" customWidth="1"/>
    <col min="4" max="4" width="20" customWidth="1"/>
    <col min="5" max="5" width="42" customWidth="1"/>
  </cols>
  <sheetData>
    <row r="1" spans="1:5" ht="25.5" customHeight="1" x14ac:dyDescent="0.35">
      <c r="A1" s="21" t="s">
        <v>175</v>
      </c>
      <c r="B1" s="21"/>
      <c r="C1" s="21"/>
      <c r="D1" s="21"/>
      <c r="E1" s="21"/>
    </row>
    <row r="2" spans="1:5" ht="15" customHeight="1" x14ac:dyDescent="0.35">
      <c r="A2" s="20"/>
      <c r="B2" s="20"/>
      <c r="C2" s="20"/>
      <c r="D2" s="20"/>
      <c r="E2" s="20"/>
    </row>
    <row r="3" spans="1:5" x14ac:dyDescent="0.35">
      <c r="A3" s="20"/>
      <c r="B3" s="20"/>
      <c r="C3" s="20"/>
      <c r="D3" s="20"/>
      <c r="E3" s="20"/>
    </row>
    <row r="5" spans="1:5" ht="26" x14ac:dyDescent="0.35">
      <c r="A5" s="6" t="s">
        <v>176</v>
      </c>
      <c r="B5" s="6" t="s">
        <v>177</v>
      </c>
      <c r="C5" s="6" t="s">
        <v>178</v>
      </c>
      <c r="D5" s="6" t="s">
        <v>179</v>
      </c>
      <c r="E5" s="6" t="s">
        <v>7</v>
      </c>
    </row>
    <row r="6" spans="1:5" ht="25" x14ac:dyDescent="0.35">
      <c r="A6" s="7" t="s">
        <v>9</v>
      </c>
      <c r="B6" s="7" t="s">
        <v>180</v>
      </c>
      <c r="C6" s="7" t="s">
        <v>14</v>
      </c>
      <c r="D6" s="7" t="s">
        <v>181</v>
      </c>
      <c r="E6" s="7" t="s">
        <v>182</v>
      </c>
    </row>
    <row r="7" spans="1:5" x14ac:dyDescent="0.35">
      <c r="A7" s="7" t="s">
        <v>15</v>
      </c>
      <c r="B7" s="7" t="s">
        <v>183</v>
      </c>
      <c r="C7" s="7" t="s">
        <v>18</v>
      </c>
      <c r="D7" s="7" t="s">
        <v>184</v>
      </c>
      <c r="E7" s="7" t="s">
        <v>185</v>
      </c>
    </row>
    <row r="8" spans="1:5" ht="25" x14ac:dyDescent="0.35">
      <c r="A8" s="7" t="s">
        <v>19</v>
      </c>
      <c r="B8" s="7" t="s">
        <v>186</v>
      </c>
      <c r="C8" s="7" t="s">
        <v>14</v>
      </c>
      <c r="D8" s="7" t="s">
        <v>187</v>
      </c>
      <c r="E8" s="7" t="s">
        <v>188</v>
      </c>
    </row>
    <row r="9" spans="1:5" x14ac:dyDescent="0.35">
      <c r="A9" s="7" t="s">
        <v>22</v>
      </c>
      <c r="B9" s="7" t="s">
        <v>189</v>
      </c>
      <c r="C9" s="7" t="s">
        <v>190</v>
      </c>
      <c r="D9" s="7" t="s">
        <v>191</v>
      </c>
      <c r="E9" s="7" t="s">
        <v>192</v>
      </c>
    </row>
    <row r="10" spans="1:5" x14ac:dyDescent="0.35">
      <c r="A10" s="7" t="s">
        <v>26</v>
      </c>
      <c r="B10" s="7" t="s">
        <v>193</v>
      </c>
      <c r="C10" s="7" t="s">
        <v>18</v>
      </c>
      <c r="D10" s="7" t="s">
        <v>181</v>
      </c>
      <c r="E10" s="7"/>
    </row>
    <row r="11" spans="1:5" x14ac:dyDescent="0.35">
      <c r="A11" s="7" t="s">
        <v>29</v>
      </c>
      <c r="B11" s="7" t="s">
        <v>194</v>
      </c>
      <c r="C11" s="7" t="s">
        <v>195</v>
      </c>
      <c r="D11" s="7" t="s">
        <v>191</v>
      </c>
      <c r="E11" s="7"/>
    </row>
    <row r="12" spans="1:5" x14ac:dyDescent="0.35">
      <c r="A12" s="7" t="s">
        <v>32</v>
      </c>
      <c r="B12" s="7" t="s">
        <v>196</v>
      </c>
      <c r="C12" s="7" t="s">
        <v>197</v>
      </c>
      <c r="D12" s="7" t="s">
        <v>191</v>
      </c>
      <c r="E12" s="7" t="s">
        <v>198</v>
      </c>
    </row>
    <row r="13" spans="1:5" x14ac:dyDescent="0.35">
      <c r="A13" s="7" t="s">
        <v>199</v>
      </c>
      <c r="B13" s="7" t="s">
        <v>200</v>
      </c>
      <c r="C13" s="7" t="s">
        <v>14</v>
      </c>
      <c r="D13" s="7" t="s">
        <v>201</v>
      </c>
      <c r="E13" s="7"/>
    </row>
    <row r="14" spans="1:5" x14ac:dyDescent="0.35">
      <c r="A14" s="7" t="s">
        <v>37</v>
      </c>
      <c r="B14" s="7" t="s">
        <v>202</v>
      </c>
      <c r="C14" s="7" t="s">
        <v>18</v>
      </c>
      <c r="D14" s="7" t="s">
        <v>203</v>
      </c>
      <c r="E14" s="7"/>
    </row>
    <row r="15" spans="1:5" ht="25" x14ac:dyDescent="0.35">
      <c r="A15" s="7" t="s">
        <v>40</v>
      </c>
      <c r="B15" s="7" t="s">
        <v>204</v>
      </c>
      <c r="C15" s="7" t="s">
        <v>205</v>
      </c>
      <c r="D15" s="7" t="s">
        <v>206</v>
      </c>
      <c r="E15" s="7"/>
    </row>
    <row r="16" spans="1:5" x14ac:dyDescent="0.35">
      <c r="A16" s="7" t="s">
        <v>43</v>
      </c>
      <c r="B16" s="7" t="s">
        <v>207</v>
      </c>
      <c r="C16" s="7" t="s">
        <v>208</v>
      </c>
      <c r="D16" s="7" t="s">
        <v>191</v>
      </c>
      <c r="E16" s="7"/>
    </row>
    <row r="17" spans="1:5" x14ac:dyDescent="0.35">
      <c r="A17" s="7" t="s">
        <v>47</v>
      </c>
      <c r="B17" s="7" t="s">
        <v>209</v>
      </c>
      <c r="C17" s="7" t="s">
        <v>46</v>
      </c>
      <c r="D17" s="7" t="s">
        <v>203</v>
      </c>
      <c r="E17" s="7"/>
    </row>
    <row r="18" spans="1:5" ht="25" x14ac:dyDescent="0.35">
      <c r="A18" s="7" t="s">
        <v>49</v>
      </c>
      <c r="B18" s="7" t="s">
        <v>210</v>
      </c>
      <c r="C18" s="7" t="s">
        <v>211</v>
      </c>
      <c r="D18" s="7" t="s">
        <v>191</v>
      </c>
      <c r="E18" s="7"/>
    </row>
    <row r="19" spans="1:5" ht="25" x14ac:dyDescent="0.35">
      <c r="A19" s="7" t="s">
        <v>212</v>
      </c>
      <c r="B19" s="7" t="s">
        <v>213</v>
      </c>
      <c r="C19" s="7" t="s">
        <v>46</v>
      </c>
      <c r="D19" s="7" t="s">
        <v>214</v>
      </c>
      <c r="E19" s="7" t="s">
        <v>215</v>
      </c>
    </row>
    <row r="20" spans="1:5" ht="25" x14ac:dyDescent="0.35">
      <c r="A20" s="7" t="s">
        <v>55</v>
      </c>
      <c r="B20" s="7" t="s">
        <v>216</v>
      </c>
      <c r="C20" s="7" t="s">
        <v>217</v>
      </c>
      <c r="D20" s="7" t="s">
        <v>191</v>
      </c>
      <c r="E20" s="7" t="s">
        <v>218</v>
      </c>
    </row>
    <row r="21" spans="1:5" x14ac:dyDescent="0.35">
      <c r="A21" s="7" t="s">
        <v>58</v>
      </c>
      <c r="B21" s="7" t="s">
        <v>219</v>
      </c>
      <c r="C21" s="7" t="s">
        <v>220</v>
      </c>
      <c r="D21" s="7" t="s">
        <v>191</v>
      </c>
      <c r="E21" s="7" t="s">
        <v>218</v>
      </c>
    </row>
    <row r="22" spans="1:5" x14ac:dyDescent="0.35">
      <c r="A22" s="7" t="s">
        <v>221</v>
      </c>
      <c r="B22" s="7" t="s">
        <v>222</v>
      </c>
      <c r="C22" s="7" t="s">
        <v>223</v>
      </c>
      <c r="D22" s="7" t="s">
        <v>191</v>
      </c>
      <c r="E22" s="7"/>
    </row>
    <row r="23" spans="1:5" x14ac:dyDescent="0.35">
      <c r="A23" s="7" t="s">
        <v>63</v>
      </c>
      <c r="B23" s="7" t="s">
        <v>224</v>
      </c>
      <c r="C23" s="7" t="s">
        <v>46</v>
      </c>
      <c r="D23" s="7" t="s">
        <v>225</v>
      </c>
      <c r="E23" s="7" t="s">
        <v>226</v>
      </c>
    </row>
    <row r="24" spans="1:5" x14ac:dyDescent="0.35">
      <c r="A24" s="7" t="s">
        <v>66</v>
      </c>
      <c r="B24" s="7" t="s">
        <v>227</v>
      </c>
      <c r="C24" s="7" t="s">
        <v>46</v>
      </c>
      <c r="D24" s="7" t="s">
        <v>228</v>
      </c>
      <c r="E24" s="7"/>
    </row>
    <row r="25" spans="1:5" ht="25" x14ac:dyDescent="0.35">
      <c r="A25" s="7" t="s">
        <v>69</v>
      </c>
      <c r="B25" s="7" t="s">
        <v>229</v>
      </c>
      <c r="C25" s="7" t="s">
        <v>46</v>
      </c>
      <c r="D25" s="7" t="s">
        <v>230</v>
      </c>
      <c r="E25" s="7" t="s">
        <v>231</v>
      </c>
    </row>
    <row r="26" spans="1:5" ht="25" x14ac:dyDescent="0.35">
      <c r="A26" s="7" t="s">
        <v>232</v>
      </c>
      <c r="B26" s="7" t="s">
        <v>233</v>
      </c>
      <c r="C26" s="7" t="s">
        <v>76</v>
      </c>
      <c r="D26" s="7" t="s">
        <v>234</v>
      </c>
      <c r="E26" s="7" t="s">
        <v>235</v>
      </c>
    </row>
    <row r="27" spans="1:5" ht="25" x14ac:dyDescent="0.35">
      <c r="A27" s="7" t="s">
        <v>236</v>
      </c>
      <c r="B27" s="7" t="s">
        <v>237</v>
      </c>
      <c r="C27" s="7" t="s">
        <v>81</v>
      </c>
      <c r="D27" s="7" t="s">
        <v>234</v>
      </c>
      <c r="E27" s="7"/>
    </row>
    <row r="28" spans="1:5" x14ac:dyDescent="0.35">
      <c r="A28" s="7" t="s">
        <v>84</v>
      </c>
      <c r="B28" s="7" t="s">
        <v>238</v>
      </c>
      <c r="C28" s="7" t="s">
        <v>81</v>
      </c>
      <c r="D28" s="7" t="s">
        <v>239</v>
      </c>
      <c r="E28" s="7" t="s">
        <v>250</v>
      </c>
    </row>
    <row r="29" spans="1:5" ht="25" x14ac:dyDescent="0.35">
      <c r="A29" s="7" t="s">
        <v>240</v>
      </c>
      <c r="B29" s="7" t="s">
        <v>241</v>
      </c>
      <c r="C29" s="7" t="s">
        <v>89</v>
      </c>
      <c r="D29" s="7" t="s">
        <v>242</v>
      </c>
      <c r="E29" s="7" t="s">
        <v>243</v>
      </c>
    </row>
    <row r="30" spans="1:5" ht="25" x14ac:dyDescent="0.35">
      <c r="A30" s="7" t="s">
        <v>92</v>
      </c>
      <c r="B30" s="7" t="s">
        <v>244</v>
      </c>
      <c r="C30" s="7" t="s">
        <v>95</v>
      </c>
      <c r="D30" s="7" t="s">
        <v>245</v>
      </c>
      <c r="E30" s="7" t="s">
        <v>246</v>
      </c>
    </row>
    <row r="31" spans="1:5" x14ac:dyDescent="0.35">
      <c r="A31" s="7" t="s">
        <v>96</v>
      </c>
      <c r="B31" s="7" t="s">
        <v>247</v>
      </c>
      <c r="C31" s="7" t="s">
        <v>95</v>
      </c>
      <c r="D31" s="7" t="s">
        <v>245</v>
      </c>
      <c r="E31" s="7" t="s">
        <v>251</v>
      </c>
    </row>
  </sheetData>
  <mergeCells count="2">
    <mergeCell ref="A1:E1"/>
    <mergeCell ref="A2:E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Inventaire_structure_donnees</vt:lpstr>
      <vt:lpstr>Fenetres_neutralisees_2026</vt:lpstr>
      <vt:lpstr>Regles_calcul_capacite</vt:lpstr>
      <vt:lpstr>Tables_à_modéliser</vt:lpstr>
      <vt:lpstr>Besoins_formateurs_managers</vt:lpstr>
      <vt:lpstr>Nomenclature_commune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2026-07-17T10:08:27Z</dcterms:created>
  <dcterms:modified xsi:type="dcterms:W3CDTF">2026-07-23T10:10:00Z</dcterms:modified>
  <dc:language>en-US</dc:language>
</cp:coreProperties>
</file>